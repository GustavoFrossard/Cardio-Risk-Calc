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activeTab="3"/>
  </bookViews>
  <sheets>
    <sheet name="RCRI" sheetId="1" r:id="rId1"/>
    <sheet name="VSG-CRI" sheetId="2" r:id="rId2"/>
    <sheet name="Página1" sheetId="3" r:id="rId3"/>
    <sheet name="Págin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<sst xmlns="http://schemas.openxmlformats.org/spreadsheetml/2006/main" count="260" uniqueCount="148">
  <si>
    <t>Risco Cardiovascular Perioperatório - RCRI</t>
  </si>
  <si>
    <t>Nome do Paciente:</t>
  </si>
  <si>
    <t>Idade: 31</t>
  </si>
  <si>
    <t>Sexo:</t>
  </si>
  <si>
    <t>Feminino</t>
  </si>
  <si>
    <t>Antecedentes pessoais:</t>
  </si>
  <si>
    <t>Medicações em uso:</t>
  </si>
  <si>
    <t>Cirurgia proposta:</t>
  </si>
  <si>
    <t>Ortopédica major</t>
  </si>
  <si>
    <t>Neurocirurgia, RTU de próstata ou cirurgia de retina?</t>
  </si>
  <si>
    <t>Capacidade funcional:</t>
  </si>
  <si>
    <t>É capaz de subir dois lances de escada?</t>
  </si>
  <si>
    <t>Escore de Risco (RCRI):</t>
  </si>
  <si>
    <t>Operação intraperitoneal, intratorácica ou vascular suprainguinal</t>
  </si>
  <si>
    <t>Doença arterial coronária (ondas Q, sintomas de isquemia, teste+, uso de nitrato)</t>
  </si>
  <si>
    <t>Insuficiência cardíaca congestiva (clínica, RX tórax com congestão)</t>
  </si>
  <si>
    <t>Doença cerebrovascular</t>
  </si>
  <si>
    <t>Diabetes com insulinoterapia</t>
  </si>
  <si>
    <t>Creatinina pré-operatória &gt; 2,0 mg/dL</t>
  </si>
  <si>
    <t>RCRI:</t>
  </si>
  <si>
    <t>Risco Intrínseco ao procedimento:</t>
  </si>
  <si>
    <t>Conduta:</t>
  </si>
  <si>
    <t xml:space="preserve"> - Suspender Clopidogrel 5 dias antes do procedimento.</t>
  </si>
  <si>
    <t xml:space="preserve"> - Suspender Ticagrelor 5 dias antes do procedimento.</t>
  </si>
  <si>
    <t xml:space="preserve"> - Suspender Prasugrel 7 dias antes do procedimento.</t>
  </si>
  <si>
    <t>Risco Cardiovascular Perioperatório - VSG-CRI</t>
  </si>
  <si>
    <t>Idade:</t>
  </si>
  <si>
    <t>Masculino</t>
  </si>
  <si>
    <t>Aorta e vascular major</t>
  </si>
  <si>
    <t>Idade</t>
  </si>
  <si>
    <t xml:space="preserve">            ≥ 80 anos</t>
  </si>
  <si>
    <t xml:space="preserve">            70-79 anos</t>
  </si>
  <si>
    <t xml:space="preserve">            60-69 anos</t>
  </si>
  <si>
    <t>SCC</t>
  </si>
  <si>
    <t>IC</t>
  </si>
  <si>
    <t>DPOC</t>
  </si>
  <si>
    <t>Creatinina &gt; 1,8</t>
  </si>
  <si>
    <t>Tabagismo</t>
  </si>
  <si>
    <t>DM + insulina</t>
  </si>
  <si>
    <t>Uso de Beta-bloqueador</t>
  </si>
  <si>
    <t>Revasc. miocárdica prévia</t>
  </si>
  <si>
    <t>Questionário para avaliação da capacidade funcional</t>
  </si>
  <si>
    <t>METS</t>
  </si>
  <si>
    <t>Fazer trabalhos leves em casa, como juntar o lixo ou lavar a louça?</t>
  </si>
  <si>
    <t>Cuidar de si mesmo: vestir-se, alimentar-se, tomar banho?</t>
  </si>
  <si>
    <t>Caminhar uma quadra ou duas, no plano?</t>
  </si>
  <si>
    <t>Fazer trabalhos moderados em casa, como passar o aspirador de pó, varrer o chão ou guardar/carregar mantimentos?</t>
  </si>
  <si>
    <t>Subir um lance de escadas ou caminhar em uma subida?</t>
  </si>
  <si>
    <t>Fazer trabalhos no jardim/quintal, como usar o rastelo, juntar folhas ou usar a máquina de cortar grama?</t>
  </si>
  <si>
    <t>Ter atividade sexual?</t>
  </si>
  <si>
    <t>Participar de atividades recreacionais moderadas, como jogar boliche, dançar, jogar tênis em dupla?</t>
  </si>
  <si>
    <t>Participar de atividades esportivas, como natação, ou tênis individual, ou futebol?</t>
  </si>
  <si>
    <t>Fazer trabalhos pesados em casa, como esfregar/lavar o piso, ou levantar ou deslocar móveis pesados?</t>
  </si>
  <si>
    <t>Correr uma distância curta?</t>
  </si>
  <si>
    <t>Condições cardiovasculares graves no perioperatório</t>
  </si>
  <si>
    <t>Síndrome coronariana aguda</t>
  </si>
  <si>
    <t>Doenças instáveis da aorta torácica</t>
  </si>
  <si>
    <t>Edema agudo dos pulmões</t>
  </si>
  <si>
    <t>Choque cardiogênico</t>
  </si>
  <si>
    <t xml:space="preserve">Insuficiência cardíaca classe funcional III/IV da NYHA* </t>
  </si>
  <si>
    <t xml:space="preserve">Angina classe funcional CCS III/IV* </t>
  </si>
  <si>
    <t xml:space="preserve">Bradiarritmias ou taquiarritmias graves (BAVT, TV) </t>
  </si>
  <si>
    <t>Hipertensão arterial sistêmica não controlada (PA &gt; 180 x 110 mmHg)</t>
  </si>
  <si>
    <t xml:space="preserve">Fibrilação atrial de alta resposta ventricular (FC &gt; 120 bpm) </t>
  </si>
  <si>
    <t>Hipertensão arterial pulmonar sintomática</t>
  </si>
  <si>
    <t>Avaliação pelo algoritmo de Lee</t>
  </si>
  <si>
    <t>Classe de Risco</t>
  </si>
  <si>
    <t xml:space="preserve">I (nenhuma variável, risco 0,4%) </t>
  </si>
  <si>
    <t xml:space="preserve">II (uma variável, risco 0,9%) </t>
  </si>
  <si>
    <t>III (duas variáveis, risco 7%)</t>
  </si>
  <si>
    <t>IV (&gt; 3 variáveis, risco 11%)</t>
  </si>
  <si>
    <t>Avaliação pelo algoritmo do American College of Physicians (ACP)</t>
  </si>
  <si>
    <t>IAM &lt; 6m (10 pontos)</t>
  </si>
  <si>
    <t>IAM &gt; 6m (5 pontos)</t>
  </si>
  <si>
    <t>Angina Classe III (10 pontos)</t>
  </si>
  <si>
    <t xml:space="preserve">Angina Classe IV (20 pontos) </t>
  </si>
  <si>
    <t xml:space="preserve">EAP na última semana (10 pontos) </t>
  </si>
  <si>
    <t xml:space="preserve">EAP alguma vez na vida (5 pontos) </t>
  </si>
  <si>
    <t xml:space="preserve">Suspeita de EAO crítica (20 pontos) </t>
  </si>
  <si>
    <t xml:space="preserve">Ritmo não sinusal ou RS c/ ESSV no ECG (5 pontos) </t>
  </si>
  <si>
    <t xml:space="preserve">&gt; 5 ESV no ECG (5 pontos) </t>
  </si>
  <si>
    <t xml:space="preserve">PO2 &lt; 60, pCO2 &gt; 50, K&lt;3, U &gt; 107, C &gt; 3,0 ou restrito ao leito (5 pontos) </t>
  </si>
  <si>
    <t>Idade &gt; 70 anos (5 pontos)</t>
  </si>
  <si>
    <t xml:space="preserve">Classes de risco: </t>
  </si>
  <si>
    <t xml:space="preserve">Se &gt; 20 pontos: alto risco, superior a 15%. </t>
  </si>
  <si>
    <t>Se 0 a 15 pontos, avaliar número de variáveis de Eagle e Vanzetto para discriminar os riscos baixo e intermediário.</t>
  </si>
  <si>
    <t xml:space="preserve">Idade &gt; 70 anos </t>
  </si>
  <si>
    <t xml:space="preserve">História de angina   </t>
  </si>
  <si>
    <t xml:space="preserve">DM   </t>
  </si>
  <si>
    <t xml:space="preserve">Ondas Q no ECG </t>
  </si>
  <si>
    <t xml:space="preserve">História de IC </t>
  </si>
  <si>
    <t xml:space="preserve">História de infarto </t>
  </si>
  <si>
    <t xml:space="preserve">Alterações isquêmicas do ST </t>
  </si>
  <si>
    <t>HAS com HVE importante</t>
  </si>
  <si>
    <t xml:space="preserve">Se no máximo 1 variável: baixo risco: &lt; 3% </t>
  </si>
  <si>
    <t>Se &gt; 2 variáveis: risco intermediário: entre 3 a 15%.</t>
  </si>
  <si>
    <t xml:space="preserve">Alto (risco cardíaco ≥ 5%)* </t>
  </si>
  <si>
    <t xml:space="preserve">Cirurgias vasculares arteriais de aorta e vasculares periféricas Cirurgias de urgência ou emergência </t>
  </si>
  <si>
    <t xml:space="preserve">Intermediário (risco cardíaco entre 1 e 5%) </t>
  </si>
  <si>
    <t>Endarterectomia de carótida e correção endovascular de aneurisma de aorta abdominal Cirurgia de cabeça e pescoço Cirurgias intraperitoneais e intratorácicas Cirurgias ortopédicas Cirurgias prostáticas</t>
  </si>
  <si>
    <t>Baixo (risco cardíaco &lt; 1%)</t>
  </si>
  <si>
    <t xml:space="preserve"> Procedimentos endoscópicos Procedimentos superficiais  Cirurgia de catarata Cirurgia de mama Cirurgia ambulatorial</t>
  </si>
  <si>
    <t>Tipo de Cirurgia</t>
  </si>
  <si>
    <t>Risco Intrínseco</t>
  </si>
  <si>
    <t>Mama</t>
  </si>
  <si>
    <t>Procedimentos dentários</t>
  </si>
  <si>
    <t>Tireoide</t>
  </si>
  <si>
    <t>Ocular</t>
  </si>
  <si>
    <r>
      <rPr>
        <sz val="10"/>
        <color theme="1"/>
        <rFont val="Arial"/>
        <charset val="134"/>
      </rPr>
      <t xml:space="preserve">Ginecológica </t>
    </r>
    <r>
      <rPr>
        <i/>
        <sz val="10"/>
        <color theme="1"/>
        <rFont val="Arial"/>
        <charset val="134"/>
      </rPr>
      <t>minor</t>
    </r>
  </si>
  <si>
    <r>
      <rPr>
        <sz val="10"/>
        <color theme="1"/>
        <rFont val="Arial"/>
        <charset val="134"/>
      </rPr>
      <t xml:space="preserve">Ortopédica </t>
    </r>
    <r>
      <rPr>
        <i/>
        <sz val="10"/>
        <color theme="1"/>
        <rFont val="Arial"/>
        <charset val="134"/>
      </rPr>
      <t>minor</t>
    </r>
  </si>
  <si>
    <t>Reconstrutiva</t>
  </si>
  <si>
    <t>Superficial</t>
  </si>
  <si>
    <r>
      <rPr>
        <sz val="10"/>
        <color theme="1"/>
        <rFont val="Arial"/>
        <charset val="134"/>
      </rPr>
      <t xml:space="preserve">Urológica </t>
    </r>
    <r>
      <rPr>
        <i/>
        <sz val="10"/>
        <color theme="1"/>
        <rFont val="Arial"/>
        <charset val="134"/>
      </rPr>
      <t xml:space="preserve">minor </t>
    </r>
    <r>
      <rPr>
        <sz val="10"/>
        <color theme="1"/>
        <rFont val="Arial"/>
        <charset val="134"/>
      </rPr>
      <t>(RTU)</t>
    </r>
  </si>
  <si>
    <r>
      <rPr>
        <sz val="10"/>
        <color theme="1"/>
        <rFont val="Arial"/>
        <charset val="134"/>
      </rPr>
      <t xml:space="preserve">VATS </t>
    </r>
    <r>
      <rPr>
        <i/>
        <sz val="10"/>
        <color theme="1"/>
        <rFont val="Arial"/>
        <charset val="134"/>
      </rPr>
      <t>minor</t>
    </r>
  </si>
  <si>
    <t>Carótida assintomática</t>
  </si>
  <si>
    <t>Endarterectomia carótida (sintomática)</t>
  </si>
  <si>
    <t>Angioplastia artéria periférica</t>
  </si>
  <si>
    <t>Aneurisma de Aorta endovascular</t>
  </si>
  <si>
    <t>Cabeça e Pescoço</t>
  </si>
  <si>
    <t>Intraperitoneal</t>
  </si>
  <si>
    <r>
      <rPr>
        <sz val="10"/>
        <color theme="1"/>
        <rFont val="Arial"/>
        <charset val="134"/>
      </rPr>
      <t xml:space="preserve">Intratorácica </t>
    </r>
    <r>
      <rPr>
        <i/>
        <sz val="10"/>
        <color theme="1"/>
        <rFont val="Arial"/>
        <charset val="134"/>
      </rPr>
      <t>non-major</t>
    </r>
  </si>
  <si>
    <t>Neurológica</t>
  </si>
  <si>
    <r>
      <rPr>
        <sz val="10"/>
        <color theme="1"/>
        <rFont val="Arial"/>
        <charset val="134"/>
      </rPr>
      <t xml:space="preserve">Ortopédica </t>
    </r>
    <r>
      <rPr>
        <i/>
        <sz val="10"/>
        <color theme="1"/>
        <rFont val="Arial"/>
        <charset val="134"/>
      </rPr>
      <t>major</t>
    </r>
  </si>
  <si>
    <t>Transplante renal</t>
  </si>
  <si>
    <r>
      <rPr>
        <sz val="10"/>
        <color theme="1"/>
        <rFont val="Arial"/>
        <charset val="134"/>
      </rPr>
      <t xml:space="preserve">Urológica </t>
    </r>
    <r>
      <rPr>
        <i/>
        <sz val="10"/>
        <color theme="1"/>
        <rFont val="Arial"/>
        <charset val="134"/>
      </rPr>
      <t>major</t>
    </r>
  </si>
  <si>
    <r>
      <rPr>
        <sz val="10"/>
        <color theme="1"/>
        <rFont val="Arial"/>
        <charset val="134"/>
      </rPr>
      <t xml:space="preserve">Ginecológica </t>
    </r>
    <r>
      <rPr>
        <i/>
        <sz val="10"/>
        <color theme="1"/>
        <rFont val="Arial"/>
        <charset val="134"/>
      </rPr>
      <t>major</t>
    </r>
  </si>
  <si>
    <r>
      <rPr>
        <sz val="10"/>
        <color theme="1"/>
        <rFont val="Arial"/>
        <charset val="134"/>
      </rPr>
      <t xml:space="preserve">Aorta e vascular </t>
    </r>
    <r>
      <rPr>
        <i/>
        <sz val="10"/>
        <color theme="1"/>
        <rFont val="Arial"/>
        <charset val="134"/>
      </rPr>
      <t>major</t>
    </r>
  </si>
  <si>
    <t>Revascularização periférica aberta devido à isquemia aguda ou amputação</t>
  </si>
  <si>
    <t>Angioplastia carótida (sintomática)</t>
  </si>
  <si>
    <t>Ressecção adrenal</t>
  </si>
  <si>
    <t>Pancreática</t>
  </si>
  <si>
    <t>Fígado e vias biliares</t>
  </si>
  <si>
    <t>Esofagectomia</t>
  </si>
  <si>
    <t>Pneumectomia (VATS ou aberta)</t>
  </si>
  <si>
    <t>Transplante pulmonar</t>
  </si>
  <si>
    <t>Transplante hepático</t>
  </si>
  <si>
    <t>Cistectomia total</t>
  </si>
  <si>
    <t>Reparo de perfuração intestinal</t>
  </si>
  <si>
    <t>Código1</t>
  </si>
  <si>
    <t>Código2</t>
  </si>
  <si>
    <t>CódigoFinal</t>
  </si>
  <si>
    <t>1. Procedimento Cirúrgico de urgência/emergência?</t>
  </si>
  <si>
    <t>Sim</t>
  </si>
  <si>
    <t>Não</t>
  </si>
  <si>
    <t>2. Paciente apresenta condições cardiovasculares graves no perioperatório?</t>
  </si>
  <si>
    <t>3. Estratificação de Risco</t>
  </si>
  <si>
    <t>4. Risco intrínseco da cirurgia</t>
  </si>
  <si>
    <t>5. Conduta: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</si>
</sst>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0B5394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3" borderId="2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7" applyNumberFormat="0" applyAlignment="0" applyProtection="0">
      <alignment vertical="center"/>
    </xf>
    <xf numFmtId="0" fontId="15" fillId="5" borderId="28" applyNumberFormat="0" applyAlignment="0" applyProtection="0">
      <alignment vertical="center"/>
    </xf>
    <xf numFmtId="0" fontId="16" fillId="5" borderId="27" applyNumberFormat="0" applyAlignment="0" applyProtection="0">
      <alignment vertical="center"/>
    </xf>
    <xf numFmtId="0" fontId="17" fillId="6" borderId="29" applyNumberFormat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 applyAlignment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4" fillId="0" borderId="5" xfId="0" applyFont="1" applyBorder="1"/>
    <xf numFmtId="0" fontId="2" fillId="0" borderId="6" xfId="0" applyFont="1" applyBorder="1"/>
    <xf numFmtId="0" fontId="1" fillId="0" borderId="7" xfId="0" applyFont="1" applyBorder="1" applyAlignment="1"/>
    <xf numFmtId="0" fontId="4" fillId="0" borderId="8" xfId="0" applyFont="1" applyBorder="1"/>
    <xf numFmtId="0" fontId="1" fillId="0" borderId="9" xfId="0" applyFont="1" applyBorder="1" applyAlignment="1"/>
    <xf numFmtId="0" fontId="1" fillId="0" borderId="10" xfId="0" applyFont="1" applyBorder="1" applyAlignment="1"/>
    <xf numFmtId="0" fontId="4" fillId="0" borderId="11" xfId="0" applyFont="1" applyBorder="1"/>
    <xf numFmtId="0" fontId="1" fillId="0" borderId="6" xfId="0" applyFont="1" applyBorder="1"/>
    <xf numFmtId="0" fontId="2" fillId="0" borderId="9" xfId="0" applyFont="1" applyBorder="1" applyAlignment="1"/>
    <xf numFmtId="0" fontId="2" fillId="0" borderId="10" xfId="0" applyFont="1" applyBorder="1" applyAlignment="1"/>
    <xf numFmtId="0" fontId="5" fillId="2" borderId="10" xfId="0" applyFont="1" applyFill="1" applyBorder="1" applyAlignment="1"/>
    <xf numFmtId="0" fontId="1" fillId="0" borderId="6" xfId="0" applyFont="1" applyBorder="1" applyAlignment="1"/>
    <xf numFmtId="0" fontId="1" fillId="0" borderId="12" xfId="0" applyFont="1" applyBorder="1" applyAlignment="1"/>
    <xf numFmtId="0" fontId="4" fillId="0" borderId="13" xfId="0" applyFont="1" applyBorder="1"/>
    <xf numFmtId="0" fontId="2" fillId="0" borderId="6" xfId="0" applyFont="1" applyBorder="1" applyAlignment="1"/>
    <xf numFmtId="0" fontId="2" fillId="0" borderId="8" xfId="0" applyFont="1" applyBorder="1"/>
    <xf numFmtId="0" fontId="1" fillId="0" borderId="7" xfId="0" applyFont="1" applyBorder="1" applyAlignment="1">
      <alignment vertical="center"/>
    </xf>
    <xf numFmtId="0" fontId="4" fillId="0" borderId="14" xfId="0" applyFont="1" applyBorder="1"/>
    <xf numFmtId="0" fontId="2" fillId="0" borderId="8" xfId="0" applyFont="1" applyBorder="1" applyAlignment="1">
      <alignment horizontal="left" vertical="center" wrapText="1"/>
    </xf>
    <xf numFmtId="0" fontId="4" fillId="0" borderId="9" xfId="0" applyFont="1" applyBorder="1"/>
    <xf numFmtId="0" fontId="4" fillId="0" borderId="15" xfId="0" applyFont="1" applyBorder="1"/>
    <xf numFmtId="0" fontId="4" fillId="0" borderId="10" xfId="0" applyFont="1" applyBorder="1"/>
    <xf numFmtId="0" fontId="4" fillId="0" borderId="16" xfId="0" applyFont="1" applyBorder="1"/>
    <xf numFmtId="0" fontId="2" fillId="0" borderId="11" xfId="0" applyFont="1" applyBorder="1" applyAlignment="1"/>
    <xf numFmtId="0" fontId="2" fillId="0" borderId="17" xfId="0" applyFont="1" applyBorder="1"/>
    <xf numFmtId="0" fontId="2" fillId="0" borderId="17" xfId="0" applyFont="1" applyBorder="1" applyAlignment="1"/>
    <xf numFmtId="0" fontId="2" fillId="0" borderId="11" xfId="0" applyFont="1" applyBorder="1"/>
    <xf numFmtId="0" fontId="4" fillId="0" borderId="18" xfId="0" applyFont="1" applyBorder="1"/>
    <xf numFmtId="0" fontId="2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1" fillId="0" borderId="21" xfId="0" applyFont="1" applyBorder="1" applyAlignment="1"/>
    <xf numFmtId="0" fontId="4" fillId="0" borderId="23" xfId="0" applyFont="1" applyBorder="1"/>
    <xf numFmtId="0" fontId="2" fillId="0" borderId="21" xfId="0" applyFont="1" applyBorder="1" applyAlignment="1"/>
    <xf numFmtId="0" fontId="2" fillId="0" borderId="22" xfId="0" applyFont="1" applyBorder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3">
    <dxf>
      <font>
        <color rgb="FF073763"/>
      </font>
      <fill>
        <patternFill patternType="solid">
          <fgColor rgb="FF9FC5E8"/>
          <bgColor rgb="FF9FC5E8"/>
        </patternFill>
      </fill>
    </dxf>
    <dxf>
      <font>
        <color rgb="FF990000"/>
      </font>
      <fill>
        <patternFill patternType="solid">
          <fgColor rgb="FFEA9999"/>
          <bgColor rgb="FFEA9999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B45F06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36"/>
  <sheetViews>
    <sheetView workbookViewId="0">
      <selection activeCell="A1" sqref="A1"/>
    </sheetView>
  </sheetViews>
  <sheetFormatPr defaultColWidth="12.6285714285714" defaultRowHeight="15.75" customHeight="1"/>
  <cols>
    <col min="1" max="24" width="3" customWidth="1"/>
  </cols>
  <sheetData>
    <row r="1" customHeight="1" spans="1:2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5"/>
    </row>
    <row r="2" customHeight="1" spans="1:24">
      <c r="A2" s="7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36"/>
      <c r="X2" s="37"/>
    </row>
    <row r="3" customHeight="1" spans="1:24">
      <c r="A3" s="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5"/>
    </row>
    <row r="4" customHeight="1" spans="1:24">
      <c r="A4" s="7"/>
      <c r="B4" s="11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8"/>
      <c r="X4" s="37"/>
    </row>
    <row r="5" customHeight="1" spans="1:24">
      <c r="A5" s="7"/>
      <c r="B5" s="13" t="s">
        <v>2</v>
      </c>
      <c r="H5" s="1" t="s">
        <v>3</v>
      </c>
      <c r="J5" s="2" t="s">
        <v>4</v>
      </c>
      <c r="O5" s="4"/>
      <c r="W5" s="39"/>
      <c r="X5" s="37"/>
    </row>
    <row r="6" customHeight="1" spans="1:24">
      <c r="A6" s="7"/>
      <c r="B6" s="13" t="s">
        <v>5</v>
      </c>
      <c r="W6" s="39"/>
      <c r="X6" s="37"/>
    </row>
    <row r="7" customHeight="1" spans="1:24">
      <c r="A7" s="7"/>
      <c r="B7" s="14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40"/>
      <c r="X7" s="37"/>
    </row>
    <row r="8" customHeight="1" spans="1:24">
      <c r="A8" s="5"/>
      <c r="B8" s="1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5"/>
    </row>
    <row r="9" customHeight="1" spans="1:24">
      <c r="A9" s="7"/>
      <c r="B9" s="11" t="s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8"/>
      <c r="X9" s="37"/>
    </row>
    <row r="10" customHeight="1" spans="1:24">
      <c r="A10" s="7"/>
      <c r="B10" s="17" t="s">
        <v>8</v>
      </c>
      <c r="W10" s="39"/>
      <c r="X10" s="37"/>
    </row>
    <row r="11" customHeight="1" spans="1:24">
      <c r="A11" s="7"/>
      <c r="B11" s="18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32">
        <v>0</v>
      </c>
      <c r="Q11" s="35"/>
      <c r="R11" s="15"/>
      <c r="S11" s="15"/>
      <c r="T11" s="15"/>
      <c r="U11" s="15"/>
      <c r="V11" s="15"/>
      <c r="W11" s="40"/>
      <c r="X11" s="37"/>
    </row>
    <row r="12" customHeight="1" spans="1:24">
      <c r="A12" s="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5"/>
    </row>
    <row r="13" customHeight="1" spans="1:24">
      <c r="A13" s="7"/>
      <c r="B13" s="11" t="s">
        <v>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8"/>
      <c r="X13" s="37"/>
    </row>
    <row r="14" customHeight="1" spans="1:24">
      <c r="A14" s="7"/>
      <c r="B14" s="17" t="s">
        <v>11</v>
      </c>
      <c r="W14" s="41">
        <v>0</v>
      </c>
      <c r="X14" s="37"/>
    </row>
    <row r="15" customHeight="1" spans="1:24">
      <c r="A15" s="7"/>
      <c r="B15" s="19" t="str">
        <f>_xlfn.IFS(W14=0,"Baixa capacidade funcional.",W14=1,"Capacidade funcional de moderada a alta.")</f>
        <v>Baixa capacidade funcional.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40"/>
      <c r="X15" s="37"/>
    </row>
    <row r="16" customHeight="1" spans="1:24">
      <c r="A16" s="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5"/>
    </row>
    <row r="17" customHeight="1" spans="1:24">
      <c r="A17" s="7"/>
      <c r="B17" s="21" t="s">
        <v>12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42"/>
      <c r="X17" s="37"/>
    </row>
    <row r="18" customHeight="1" spans="1:24">
      <c r="A18" s="7"/>
      <c r="B18" s="17" t="s">
        <v>13</v>
      </c>
      <c r="W18" s="43">
        <v>0</v>
      </c>
      <c r="X18" s="37"/>
    </row>
    <row r="19" customHeight="1" spans="1:24">
      <c r="A19" s="7"/>
      <c r="B19" s="17" t="s">
        <v>14</v>
      </c>
      <c r="W19" s="43">
        <v>0</v>
      </c>
      <c r="X19" s="37"/>
    </row>
    <row r="20" customHeight="1" spans="1:24">
      <c r="A20" s="7"/>
      <c r="B20" s="17" t="s">
        <v>15</v>
      </c>
      <c r="W20" s="43">
        <v>0</v>
      </c>
      <c r="X20" s="37"/>
    </row>
    <row r="21" customHeight="1" spans="1:24">
      <c r="A21" s="7"/>
      <c r="B21" s="17" t="s">
        <v>16</v>
      </c>
      <c r="W21" s="43">
        <v>0</v>
      </c>
      <c r="X21" s="37"/>
    </row>
    <row r="22" customHeight="1" spans="1:24">
      <c r="A22" s="7"/>
      <c r="B22" s="17" t="s">
        <v>17</v>
      </c>
      <c r="W22" s="43">
        <v>1</v>
      </c>
      <c r="X22" s="37"/>
    </row>
    <row r="23" customHeight="1" spans="1:24">
      <c r="A23" s="7"/>
      <c r="B23" s="18" t="s">
        <v>18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44">
        <v>0</v>
      </c>
      <c r="X23" s="37"/>
    </row>
    <row r="24" customHeight="1" spans="1:24">
      <c r="A24" s="5"/>
      <c r="B24" s="2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5"/>
    </row>
    <row r="25" customHeight="1" spans="1:24">
      <c r="A25" s="7"/>
      <c r="B25" s="11" t="s">
        <v>19</v>
      </c>
      <c r="C25" s="12"/>
      <c r="D25" s="24">
        <f>SUM(W18:W23)</f>
        <v>1</v>
      </c>
      <c r="E25" s="24" t="str">
        <f>_xlfn.IFS(D25&lt;=1,"Baixo risco",D25=2,"Intermediário risco",D25&gt;2,"Alto risco")</f>
        <v>Baixo risco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38"/>
      <c r="X25" s="37"/>
    </row>
    <row r="26" customHeight="1" spans="1:24">
      <c r="A26" s="7"/>
      <c r="B26" s="14" t="s">
        <v>20</v>
      </c>
      <c r="C26" s="15"/>
      <c r="D26" s="15"/>
      <c r="E26" s="15"/>
      <c r="F26" s="15"/>
      <c r="G26" s="15"/>
      <c r="H26" s="15"/>
      <c r="I26" s="15"/>
      <c r="J26" s="15"/>
      <c r="K26" s="15"/>
      <c r="L26" s="35" t="str">
        <f>VLOOKUP(B10,Página1!B73:C106,2,FALSE)</f>
        <v>Intermediário (risco cardíaco entre 1 e 5%) 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40"/>
      <c r="X26" s="37"/>
    </row>
    <row r="27" customHeight="1" spans="1:24">
      <c r="A27" s="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5"/>
    </row>
    <row r="28" customHeight="1" spans="1:24">
      <c r="A28" s="7"/>
      <c r="B28" s="25" t="s">
        <v>21</v>
      </c>
      <c r="C28" s="12"/>
      <c r="D28" s="26"/>
      <c r="E28" s="27" t="str">
        <f>_xlfn.IFS(Página1!C114=0,"Paciente de baixo risco cardiovascular perioperatório para o procedimento proposto, prosseguir para cirurgia sem necessidade de exame adicional ou cuidado cardiológico especial.",Página1!C114=2,"Paciente de baixo risco cardiovascular perioperatório para o procedimento proposto, prosseguir para cirurgia sem necessidade de exame adicional ou cuidado cardiológico especial.",Página1!C114=3,"Paciente de intermediário risco cardiovascular perioperatório para o procedimento proposto, prosseguir para cirurgia sem necessidade de exame adicional, porém com pós-operatório em UTI com troponina e ECG seriados até o segundo pós-operatório.",Página1!C114=4,"Paciente de alto risco cardiovascular perioperatório para o procedimento proposto, prosseguir para cirurgia sem necessidade de exame adicional, porém com pós-operatório em UTI com troponina e ECG seriados até o segundo pós-operatório.")</f>
        <v>Paciente de baixo risco cardiovascular perioperatório para o procedimento proposto, prosseguir para cirurgia sem necessidade de exame adicional ou cuidado cardiológico especial.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38"/>
      <c r="X28" s="37"/>
    </row>
    <row r="29" customHeight="1" spans="1:24">
      <c r="A29" s="7"/>
      <c r="B29" s="28"/>
      <c r="D29" s="29"/>
      <c r="W29" s="39"/>
      <c r="X29" s="37"/>
    </row>
    <row r="30" customHeight="1" spans="1:24">
      <c r="A30" s="7"/>
      <c r="B30" s="28"/>
      <c r="D30" s="29"/>
      <c r="W30" s="39"/>
      <c r="X30" s="37"/>
    </row>
    <row r="31" customHeight="1" spans="1:24">
      <c r="A31" s="7"/>
      <c r="B31" s="28"/>
      <c r="D31" s="29"/>
      <c r="W31" s="39"/>
      <c r="X31" s="37"/>
    </row>
    <row r="32" customHeight="1" spans="1:24">
      <c r="A32" s="7"/>
      <c r="B32" s="28"/>
      <c r="D32" s="29"/>
      <c r="E32" s="4" t="str">
        <f>_xlfn.IFS(P11=0," - Manter AAS se uso prévio &gt; 15 dias.",P11=1," - Suspender AAS 7 dias antes do procedimento.")</f>
        <v> - Manter AAS se uso prévio &gt; 15 dias.</v>
      </c>
      <c r="W32" s="39"/>
      <c r="X32" s="37"/>
    </row>
    <row r="33" customHeight="1" spans="1:24">
      <c r="A33" s="7"/>
      <c r="B33" s="28"/>
      <c r="D33" s="29"/>
      <c r="E33" s="2" t="s">
        <v>22</v>
      </c>
      <c r="W33" s="39"/>
      <c r="X33" s="37"/>
    </row>
    <row r="34" customHeight="1" spans="1:24">
      <c r="A34" s="7"/>
      <c r="B34" s="28"/>
      <c r="D34" s="29"/>
      <c r="E34" s="2" t="s">
        <v>23</v>
      </c>
      <c r="W34" s="39"/>
      <c r="X34" s="37"/>
    </row>
    <row r="35" customHeight="1" spans="1:24">
      <c r="A35" s="7"/>
      <c r="B35" s="30"/>
      <c r="C35" s="15"/>
      <c r="D35" s="31"/>
      <c r="E35" s="32" t="s">
        <v>24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40"/>
      <c r="X35" s="37"/>
    </row>
    <row r="36" customHeight="1" spans="1:24">
      <c r="A36" s="5"/>
      <c r="B36" s="33"/>
      <c r="C36" s="33"/>
      <c r="D36" s="3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5"/>
    </row>
  </sheetData>
  <mergeCells count="32">
    <mergeCell ref="B2:W2"/>
    <mergeCell ref="B4:W4"/>
    <mergeCell ref="B5:G5"/>
    <mergeCell ref="H5:I5"/>
    <mergeCell ref="J5:N5"/>
    <mergeCell ref="O5:W5"/>
    <mergeCell ref="B6:W6"/>
    <mergeCell ref="B7:W7"/>
    <mergeCell ref="B9:W9"/>
    <mergeCell ref="B10:W10"/>
    <mergeCell ref="B11:O11"/>
    <mergeCell ref="Q11:W11"/>
    <mergeCell ref="B13:W13"/>
    <mergeCell ref="B14:V14"/>
    <mergeCell ref="B15:W15"/>
    <mergeCell ref="B17:W17"/>
    <mergeCell ref="B18:V18"/>
    <mergeCell ref="B19:V19"/>
    <mergeCell ref="B20:V20"/>
    <mergeCell ref="B21:V21"/>
    <mergeCell ref="B22:V22"/>
    <mergeCell ref="B23:V23"/>
    <mergeCell ref="B25:C25"/>
    <mergeCell ref="E25:W25"/>
    <mergeCell ref="B26:K26"/>
    <mergeCell ref="L26:W26"/>
    <mergeCell ref="E32:W32"/>
    <mergeCell ref="E33:W33"/>
    <mergeCell ref="E34:W34"/>
    <mergeCell ref="E35:W35"/>
    <mergeCell ref="B28:D35"/>
    <mergeCell ref="E28:W31"/>
  </mergeCells>
  <conditionalFormatting sqref="B15:W15">
    <cfRule type="containsText" dxfId="0" priority="1" operator="between" text="alta">
      <formula>NOT(ISERROR(SEARCH("alta",B15)))</formula>
    </cfRule>
    <cfRule type="containsText" dxfId="1" priority="2" operator="between" text="baixa">
      <formula>NOT(ISERROR(SEARCH("baixa",B15)))</formula>
    </cfRule>
  </conditionalFormatting>
  <conditionalFormatting sqref="E25:W25">
    <cfRule type="containsText" dxfId="2" priority="3" operator="between" text="Baixo">
      <formula>NOT(ISERROR(SEARCH("Baixo",E25)))</formula>
    </cfRule>
    <cfRule type="containsText" dxfId="3" priority="4" operator="between" text="intermediário">
      <formula>NOT(ISERROR(SEARCH("intermediário",E25)))</formula>
    </cfRule>
    <cfRule type="containsText" dxfId="4" priority="5" operator="between" text="Alto">
      <formula>NOT(ISERROR(SEARCH("Alto",E25)))</formula>
    </cfRule>
  </conditionalFormatting>
  <conditionalFormatting sqref="L26:W26">
    <cfRule type="containsText" dxfId="3" priority="6" operator="between" text="Intermediário">
      <formula>NOT(ISERROR(SEARCH("Intermediário",L26)))</formula>
    </cfRule>
    <cfRule type="containsText" dxfId="2" priority="7" operator="between" text="Baixo">
      <formula>NOT(ISERROR(SEARCH("Baixo",L26)))</formula>
    </cfRule>
    <cfRule type="containsText" dxfId="4" priority="8" operator="between" text="Alto">
      <formula>NOT(ISERROR(SEARCH("Alto",L26)))</formula>
    </cfRule>
  </conditionalFormatting>
  <dataValidations count="2">
    <dataValidation type="list" allowBlank="1" showErrorMessage="1" sqref="J5">
      <formula1>"Masculino,Feminino"</formula1>
    </dataValidation>
    <dataValidation type="list" allowBlank="1" showErrorMessage="1" sqref="B10">
      <formula1>Página1!$B$73:$B$106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42"/>
  <sheetViews>
    <sheetView workbookViewId="0">
      <selection activeCell="A1" sqref="A1"/>
    </sheetView>
  </sheetViews>
  <sheetFormatPr defaultColWidth="12.6285714285714" defaultRowHeight="15.75" customHeight="1"/>
  <cols>
    <col min="1" max="24" width="3" customWidth="1"/>
  </cols>
  <sheetData>
    <row r="1" customHeight="1" spans="1:2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5"/>
    </row>
    <row r="2" customHeight="1" spans="1:24">
      <c r="A2" s="7"/>
      <c r="B2" s="8" t="s">
        <v>25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36"/>
      <c r="X2" s="37"/>
    </row>
    <row r="3" customHeight="1" spans="1:24">
      <c r="A3" s="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5"/>
    </row>
    <row r="4" customHeight="1" spans="1:24">
      <c r="A4" s="7"/>
      <c r="B4" s="11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8"/>
      <c r="X4" s="37"/>
    </row>
    <row r="5" customHeight="1" spans="1:24">
      <c r="A5" s="7"/>
      <c r="B5" s="13" t="s">
        <v>26</v>
      </c>
      <c r="H5" s="1" t="s">
        <v>3</v>
      </c>
      <c r="J5" s="2" t="s">
        <v>27</v>
      </c>
      <c r="O5" s="4"/>
      <c r="W5" s="39"/>
      <c r="X5" s="37"/>
    </row>
    <row r="6" customHeight="1" spans="1:24">
      <c r="A6" s="7"/>
      <c r="B6" s="13" t="s">
        <v>5</v>
      </c>
      <c r="W6" s="39"/>
      <c r="X6" s="37"/>
    </row>
    <row r="7" customHeight="1" spans="1:24">
      <c r="A7" s="7"/>
      <c r="B7" s="14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40"/>
      <c r="X7" s="37"/>
    </row>
    <row r="8" customHeight="1" spans="1:24">
      <c r="A8" s="5"/>
      <c r="B8" s="1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5"/>
    </row>
    <row r="9" customHeight="1" spans="1:24">
      <c r="A9" s="7"/>
      <c r="B9" s="11" t="s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8"/>
      <c r="X9" s="37"/>
    </row>
    <row r="10" customHeight="1" spans="1:24">
      <c r="A10" s="7"/>
      <c r="B10" s="17" t="s">
        <v>28</v>
      </c>
      <c r="W10" s="39"/>
      <c r="X10" s="37"/>
    </row>
    <row r="11" customHeight="1" spans="1:24">
      <c r="A11" s="7"/>
      <c r="B11" s="18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32">
        <v>0</v>
      </c>
      <c r="Q11" s="35"/>
      <c r="R11" s="15"/>
      <c r="S11" s="15"/>
      <c r="T11" s="15"/>
      <c r="U11" s="15"/>
      <c r="V11" s="15"/>
      <c r="W11" s="40"/>
      <c r="X11" s="37"/>
    </row>
    <row r="12" customHeight="1" spans="1:24">
      <c r="A12" s="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5"/>
    </row>
    <row r="13" customHeight="1" spans="1:24">
      <c r="A13" s="7"/>
      <c r="B13" s="11" t="s">
        <v>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8"/>
      <c r="X13" s="37"/>
    </row>
    <row r="14" customHeight="1" spans="1:24">
      <c r="A14" s="7"/>
      <c r="B14" s="17" t="s">
        <v>11</v>
      </c>
      <c r="W14" s="41">
        <v>1</v>
      </c>
      <c r="X14" s="37"/>
    </row>
    <row r="15" customHeight="1" spans="1:24">
      <c r="A15" s="7"/>
      <c r="B15" s="19" t="str">
        <f>_xlfn.IFS(W14=0,"Baixa capacidade funcional.",W14=1,"Capacidade funcional de moderada a alta.")</f>
        <v>Capacidade funcional de moderada a alta.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40"/>
      <c r="X15" s="37"/>
    </row>
    <row r="16" customHeight="1" spans="1:24">
      <c r="A16" s="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5"/>
    </row>
    <row r="17" customHeight="1" spans="1:24">
      <c r="A17" s="7"/>
      <c r="B17" s="21" t="s">
        <v>12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42"/>
      <c r="X17" s="37"/>
    </row>
    <row r="18" customHeight="1" spans="1:24">
      <c r="A18" s="7"/>
      <c r="B18" s="17" t="s">
        <v>29</v>
      </c>
      <c r="W18" s="39"/>
      <c r="X18" s="37"/>
    </row>
    <row r="19" customHeight="1" spans="1:24">
      <c r="A19" s="7"/>
      <c r="B19" s="17" t="s">
        <v>30</v>
      </c>
      <c r="W19" s="43">
        <v>0</v>
      </c>
      <c r="X19" s="37"/>
    </row>
    <row r="20" customHeight="1" spans="1:24">
      <c r="A20" s="7"/>
      <c r="B20" s="17" t="s">
        <v>31</v>
      </c>
      <c r="W20" s="43">
        <v>3</v>
      </c>
      <c r="X20" s="37"/>
    </row>
    <row r="21" customHeight="1" spans="1:24">
      <c r="A21" s="7"/>
      <c r="B21" s="17" t="s">
        <v>32</v>
      </c>
      <c r="W21" s="43">
        <v>0</v>
      </c>
      <c r="X21" s="37"/>
    </row>
    <row r="22" customHeight="1" spans="1:24">
      <c r="A22" s="7"/>
      <c r="B22" s="17" t="s">
        <v>33</v>
      </c>
      <c r="W22" s="43">
        <v>0</v>
      </c>
      <c r="X22" s="37"/>
    </row>
    <row r="23" customHeight="1" spans="1:24">
      <c r="A23" s="7"/>
      <c r="B23" s="17" t="s">
        <v>34</v>
      </c>
      <c r="W23" s="43">
        <v>0</v>
      </c>
      <c r="X23" s="37"/>
    </row>
    <row r="24" customHeight="1" spans="1:24">
      <c r="A24" s="7"/>
      <c r="B24" s="17" t="s">
        <v>35</v>
      </c>
      <c r="W24" s="43">
        <v>0</v>
      </c>
      <c r="X24" s="37"/>
    </row>
    <row r="25" customHeight="1" spans="1:24">
      <c r="A25" s="7"/>
      <c r="B25" s="17" t="s">
        <v>36</v>
      </c>
      <c r="W25" s="43">
        <v>0</v>
      </c>
      <c r="X25" s="37"/>
    </row>
    <row r="26" customHeight="1" spans="1:24">
      <c r="A26" s="7"/>
      <c r="B26" s="17" t="s">
        <v>37</v>
      </c>
      <c r="W26" s="43">
        <v>0</v>
      </c>
      <c r="X26" s="37"/>
    </row>
    <row r="27" customHeight="1" spans="1:24">
      <c r="A27" s="7"/>
      <c r="B27" s="17" t="s">
        <v>38</v>
      </c>
      <c r="W27" s="43">
        <v>0</v>
      </c>
      <c r="X27" s="37"/>
    </row>
    <row r="28" customHeight="1" spans="1:24">
      <c r="A28" s="7"/>
      <c r="B28" s="17" t="s">
        <v>39</v>
      </c>
      <c r="W28" s="43">
        <v>0</v>
      </c>
      <c r="X28" s="37"/>
    </row>
    <row r="29" customHeight="1" spans="1:24">
      <c r="A29" s="7"/>
      <c r="B29" s="18" t="s">
        <v>40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44">
        <v>0</v>
      </c>
      <c r="X29" s="37"/>
    </row>
    <row r="30" customHeight="1" spans="1:24">
      <c r="A30" s="5"/>
      <c r="B30" s="2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5"/>
    </row>
    <row r="31" customHeight="1" spans="1:24">
      <c r="A31" s="7"/>
      <c r="B31" s="11" t="s">
        <v>19</v>
      </c>
      <c r="C31" s="12"/>
      <c r="D31" s="24">
        <f>SUM(W18:W29)</f>
        <v>3</v>
      </c>
      <c r="E31" s="24" t="str">
        <f>_xlfn.IFS(D31&lt;=4,"Baixo risco",D31=5,"Intermediário risco",D31=6,"Intermediário risco",D31&gt;=7,"Alto risco")</f>
        <v>Baixo risco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38"/>
      <c r="X31" s="37"/>
    </row>
    <row r="32" customHeight="1" spans="1:24">
      <c r="A32" s="7"/>
      <c r="B32" s="14" t="s">
        <v>20</v>
      </c>
      <c r="C32" s="15"/>
      <c r="D32" s="15"/>
      <c r="E32" s="15"/>
      <c r="F32" s="15"/>
      <c r="G32" s="15"/>
      <c r="H32" s="15"/>
      <c r="I32" s="15"/>
      <c r="J32" s="15"/>
      <c r="K32" s="15"/>
      <c r="L32" s="35" t="str">
        <f>VLOOKUP(B10,Página1!B73:C106,2,FALSE)</f>
        <v>Alto (risco cardíaco ≥ 5%)* 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40"/>
      <c r="X32" s="37"/>
    </row>
    <row r="33" customHeight="1" spans="1:24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5"/>
    </row>
    <row r="34" customHeight="1" spans="1:24">
      <c r="A34" s="7"/>
      <c r="B34" s="25" t="s">
        <v>21</v>
      </c>
      <c r="C34" s="12"/>
      <c r="D34" s="26"/>
      <c r="E34" s="27" t="str">
        <f>_xlfn.IFS(D31&lt;=4,"Paciente de baixo risco cardiovascular perioperatório para o procedimento proposto, prosseguir para cirurgia sem necessidade de exame adicional ou cuidado cardiológico especial.",D31=5,"Paciente de intermediário risco cardiovascular perioperatório para o procedimento proposto, prosseguir para cirurgia sem necessidade de exame adicional, porém com pós-operatório em UTI com troponina e ECG seriados até o segundo pós-operatório.",D31=6,"Paciente de intermediário risco cardiovascular perioperatório para o procedimento proposto, prosseguir para cirurgia sem necessidade de exame adicional, porém com pós-operatório em UTI com troponina e ECG seriados até o segundo pós-operatório.",D31&gt;=7,"Paciente de alto risco cardiovascular perioperatório para o procedimento proposto, prosseguir para cirurgia sem necessidade de exame adicional, porém com pós-operatório em UTI com troponina e ECG seriados até o segundo pós-operatório.")</f>
        <v>Paciente de baixo risco cardiovascular perioperatório para o procedimento proposto, prosseguir para cirurgia sem necessidade de exame adicional ou cuidado cardiológico especial.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38"/>
      <c r="X34" s="37"/>
    </row>
    <row r="35" customHeight="1" spans="1:24">
      <c r="A35" s="7"/>
      <c r="B35" s="28"/>
      <c r="D35" s="29"/>
      <c r="W35" s="39"/>
      <c r="X35" s="37"/>
    </row>
    <row r="36" customHeight="1" spans="1:24">
      <c r="A36" s="7"/>
      <c r="B36" s="28"/>
      <c r="D36" s="29"/>
      <c r="W36" s="39"/>
      <c r="X36" s="37"/>
    </row>
    <row r="37" customHeight="1" spans="1:24">
      <c r="A37" s="7"/>
      <c r="B37" s="28"/>
      <c r="D37" s="29"/>
      <c r="W37" s="39"/>
      <c r="X37" s="37"/>
    </row>
    <row r="38" customHeight="1" spans="1:24">
      <c r="A38" s="7"/>
      <c r="B38" s="28"/>
      <c r="D38" s="29"/>
      <c r="E38" s="4" t="str">
        <f>_xlfn.IFS(P11=0," - Manter AAS se uso prévio &gt; 15 dias.",P11=1," - Suspender AAS 7 dias antes do procedimento.")</f>
        <v> - Manter AAS se uso prévio &gt; 15 dias.</v>
      </c>
      <c r="W38" s="39"/>
      <c r="X38" s="37"/>
    </row>
    <row r="39" customHeight="1" spans="1:24">
      <c r="A39" s="7"/>
      <c r="B39" s="28"/>
      <c r="D39" s="29"/>
      <c r="E39" s="2" t="s">
        <v>22</v>
      </c>
      <c r="W39" s="39"/>
      <c r="X39" s="37"/>
    </row>
    <row r="40" customHeight="1" spans="1:24">
      <c r="A40" s="7"/>
      <c r="B40" s="28"/>
      <c r="D40" s="29"/>
      <c r="E40" s="2" t="s">
        <v>23</v>
      </c>
      <c r="W40" s="39"/>
      <c r="X40" s="37"/>
    </row>
    <row r="41" customHeight="1" spans="1:24">
      <c r="A41" s="7"/>
      <c r="B41" s="30"/>
      <c r="C41" s="15"/>
      <c r="D41" s="31"/>
      <c r="E41" s="32" t="s">
        <v>24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40"/>
      <c r="X41" s="37"/>
    </row>
    <row r="42" customHeight="1" spans="1:24">
      <c r="A42" s="5"/>
      <c r="B42" s="33"/>
      <c r="C42" s="33"/>
      <c r="D42" s="3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5"/>
    </row>
  </sheetData>
  <mergeCells count="38">
    <mergeCell ref="B2:W2"/>
    <mergeCell ref="B4:W4"/>
    <mergeCell ref="B5:G5"/>
    <mergeCell ref="H5:I5"/>
    <mergeCell ref="J5:N5"/>
    <mergeCell ref="O5:W5"/>
    <mergeCell ref="B6:W6"/>
    <mergeCell ref="B7:W7"/>
    <mergeCell ref="B9:W9"/>
    <mergeCell ref="B10:W10"/>
    <mergeCell ref="B11:O11"/>
    <mergeCell ref="Q11:W11"/>
    <mergeCell ref="B13:W13"/>
    <mergeCell ref="B14:V14"/>
    <mergeCell ref="B15:W15"/>
    <mergeCell ref="B17:W17"/>
    <mergeCell ref="B18:W18"/>
    <mergeCell ref="B19:V19"/>
    <mergeCell ref="B20:V20"/>
    <mergeCell ref="B21:V21"/>
    <mergeCell ref="B22:V22"/>
    <mergeCell ref="B23:V23"/>
    <mergeCell ref="B24:V24"/>
    <mergeCell ref="B25:V25"/>
    <mergeCell ref="B26:V26"/>
    <mergeCell ref="B27:V27"/>
    <mergeCell ref="B28:V28"/>
    <mergeCell ref="B29:V29"/>
    <mergeCell ref="B31:C31"/>
    <mergeCell ref="E31:W31"/>
    <mergeCell ref="B32:K32"/>
    <mergeCell ref="L32:W32"/>
    <mergeCell ref="E38:W38"/>
    <mergeCell ref="E39:W39"/>
    <mergeCell ref="E40:W40"/>
    <mergeCell ref="E41:W41"/>
    <mergeCell ref="B34:D41"/>
    <mergeCell ref="E34:W37"/>
  </mergeCells>
  <conditionalFormatting sqref="B15:W15">
    <cfRule type="containsText" dxfId="0" priority="1" operator="between" text="alta">
      <formula>NOT(ISERROR(SEARCH("alta",B15)))</formula>
    </cfRule>
    <cfRule type="containsText" dxfId="1" priority="2" operator="between" text="baixa">
      <formula>NOT(ISERROR(SEARCH("baixa",B15)))</formula>
    </cfRule>
  </conditionalFormatting>
  <conditionalFormatting sqref="E31:W31">
    <cfRule type="containsText" dxfId="2" priority="3" operator="between" text="Baixo">
      <formula>NOT(ISERROR(SEARCH("Baixo",E31)))</formula>
    </cfRule>
    <cfRule type="containsText" dxfId="3" priority="4" operator="between" text="intermediário">
      <formula>NOT(ISERROR(SEARCH("intermediário",E31)))</formula>
    </cfRule>
    <cfRule type="containsText" dxfId="4" priority="5" operator="between" text="Alto">
      <formula>NOT(ISERROR(SEARCH("Alto",E31)))</formula>
    </cfRule>
  </conditionalFormatting>
  <conditionalFormatting sqref="L32:W32">
    <cfRule type="containsText" dxfId="3" priority="6" operator="between" text="Intermediário">
      <formula>NOT(ISERROR(SEARCH("Intermediário",L32)))</formula>
    </cfRule>
    <cfRule type="containsText" dxfId="2" priority="7" operator="between" text="Baixo">
      <formula>NOT(ISERROR(SEARCH("Baixo",L32)))</formula>
    </cfRule>
    <cfRule type="containsText" dxfId="4" priority="8" operator="between" text="Alto">
      <formula>NOT(ISERROR(SEARCH("Alto",L32)))</formula>
    </cfRule>
  </conditionalFormatting>
  <dataValidations count="2">
    <dataValidation type="list" allowBlank="1" showErrorMessage="1" sqref="J5">
      <formula1>"Masculino,Feminino"</formula1>
    </dataValidation>
    <dataValidation type="list" allowBlank="1" showErrorMessage="1" sqref="B10">
      <formula1>Página1!$B$73:$B$106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3:J114"/>
  <sheetViews>
    <sheetView workbookViewId="0">
      <selection activeCell="A1" sqref="A1"/>
    </sheetView>
  </sheetViews>
  <sheetFormatPr defaultColWidth="12.6285714285714" defaultRowHeight="15.75" customHeight="1"/>
  <cols>
    <col min="9" max="9" width="2.75238095238095" customWidth="1"/>
    <col min="10" max="10" width="6.75238095238095" customWidth="1"/>
  </cols>
  <sheetData>
    <row r="3" customHeight="1" spans="2:10">
      <c r="B3" s="1" t="s">
        <v>41</v>
      </c>
      <c r="J3" s="1" t="s">
        <v>42</v>
      </c>
    </row>
    <row r="4" customHeight="1" spans="2:10">
      <c r="B4" s="2" t="s">
        <v>43</v>
      </c>
      <c r="J4" s="2">
        <v>2.7</v>
      </c>
    </row>
    <row r="5" customHeight="1" spans="2:10">
      <c r="B5" s="2" t="s">
        <v>44</v>
      </c>
      <c r="J5" s="2">
        <v>2.75</v>
      </c>
    </row>
    <row r="6" customHeight="1" spans="2:10">
      <c r="B6" s="2" t="s">
        <v>45</v>
      </c>
      <c r="J6" s="2">
        <v>2.75</v>
      </c>
    </row>
    <row r="7" customHeight="1" spans="2:10">
      <c r="B7" s="2" t="s">
        <v>46</v>
      </c>
      <c r="J7" s="2">
        <v>3.5</v>
      </c>
    </row>
    <row r="8" customHeight="1" spans="2:10">
      <c r="B8" s="2" t="s">
        <v>47</v>
      </c>
      <c r="J8" s="2">
        <v>5.5</v>
      </c>
    </row>
    <row r="9" customHeight="1" spans="2:10">
      <c r="B9" s="2" t="s">
        <v>48</v>
      </c>
      <c r="J9" s="2">
        <v>4.5</v>
      </c>
    </row>
    <row r="10" customHeight="1" spans="2:10">
      <c r="B10" s="2" t="s">
        <v>49</v>
      </c>
      <c r="J10" s="2">
        <v>5.25</v>
      </c>
    </row>
    <row r="11" customHeight="1" spans="2:10">
      <c r="B11" s="2" t="s">
        <v>50</v>
      </c>
      <c r="J11" s="2">
        <v>6</v>
      </c>
    </row>
    <row r="12" customHeight="1" spans="2:10">
      <c r="B12" s="2" t="s">
        <v>51</v>
      </c>
      <c r="J12" s="2">
        <v>7.5</v>
      </c>
    </row>
    <row r="13" customHeight="1" spans="2:10">
      <c r="B13" s="2" t="s">
        <v>52</v>
      </c>
      <c r="J13" s="2">
        <v>8</v>
      </c>
    </row>
    <row r="14" customHeight="1" spans="2:10">
      <c r="B14" s="2" t="s">
        <v>53</v>
      </c>
      <c r="J14" s="2">
        <v>8</v>
      </c>
    </row>
    <row r="16" customHeight="1" spans="2:2">
      <c r="B16" s="1" t="s">
        <v>54</v>
      </c>
    </row>
    <row r="17" customHeight="1" spans="2:2">
      <c r="B17" s="2" t="s">
        <v>55</v>
      </c>
    </row>
    <row r="18" customHeight="1" spans="2:2">
      <c r="B18" s="2" t="s">
        <v>56</v>
      </c>
    </row>
    <row r="19" customHeight="1" spans="2:2">
      <c r="B19" s="2" t="s">
        <v>57</v>
      </c>
    </row>
    <row r="20" customHeight="1" spans="2:2">
      <c r="B20" s="2" t="s">
        <v>58</v>
      </c>
    </row>
    <row r="21" customHeight="1" spans="2:2">
      <c r="B21" s="2" t="s">
        <v>59</v>
      </c>
    </row>
    <row r="22" customHeight="1" spans="2:2">
      <c r="B22" s="2" t="s">
        <v>60</v>
      </c>
    </row>
    <row r="23" customHeight="1" spans="2:2">
      <c r="B23" s="2" t="s">
        <v>61</v>
      </c>
    </row>
    <row r="24" customHeight="1" spans="2:2">
      <c r="B24" s="2" t="s">
        <v>62</v>
      </c>
    </row>
    <row r="25" customHeight="1" spans="2:2">
      <c r="B25" s="2" t="s">
        <v>63</v>
      </c>
    </row>
    <row r="26" customHeight="1" spans="2:2">
      <c r="B26" s="2" t="s">
        <v>64</v>
      </c>
    </row>
    <row r="29" customHeight="1" spans="2:8">
      <c r="B29" s="1" t="s">
        <v>65</v>
      </c>
      <c r="H29" s="1" t="s">
        <v>66</v>
      </c>
    </row>
    <row r="30" customHeight="1" spans="2:8">
      <c r="B30" s="2" t="s">
        <v>13</v>
      </c>
      <c r="H30" s="2" t="s">
        <v>67</v>
      </c>
    </row>
    <row r="31" customHeight="1" spans="2:8">
      <c r="B31" s="2" t="s">
        <v>14</v>
      </c>
      <c r="H31" s="2" t="s">
        <v>68</v>
      </c>
    </row>
    <row r="32" customHeight="1" spans="2:8">
      <c r="B32" s="2" t="s">
        <v>15</v>
      </c>
      <c r="H32" s="2" t="s">
        <v>69</v>
      </c>
    </row>
    <row r="33" customHeight="1" spans="2:8">
      <c r="B33" s="2" t="s">
        <v>16</v>
      </c>
      <c r="H33" s="2" t="s">
        <v>70</v>
      </c>
    </row>
    <row r="34" customHeight="1" spans="2:2">
      <c r="B34" s="2" t="s">
        <v>17</v>
      </c>
    </row>
    <row r="35" customHeight="1" spans="2:2">
      <c r="B35" s="2" t="s">
        <v>18</v>
      </c>
    </row>
    <row r="38" customHeight="1" spans="2:2">
      <c r="B38" s="1" t="s">
        <v>71</v>
      </c>
    </row>
    <row r="39" customHeight="1" spans="2:2">
      <c r="B39" s="2" t="s">
        <v>72</v>
      </c>
    </row>
    <row r="40" customHeight="1" spans="2:2">
      <c r="B40" s="2" t="s">
        <v>73</v>
      </c>
    </row>
    <row r="41" customHeight="1" spans="2:2">
      <c r="B41" s="2" t="s">
        <v>74</v>
      </c>
    </row>
    <row r="42" customHeight="1" spans="2:2">
      <c r="B42" s="2" t="s">
        <v>75</v>
      </c>
    </row>
    <row r="43" customHeight="1" spans="2:2">
      <c r="B43" s="2" t="s">
        <v>76</v>
      </c>
    </row>
    <row r="44" customHeight="1" spans="2:2">
      <c r="B44" s="2" t="s">
        <v>77</v>
      </c>
    </row>
    <row r="45" customHeight="1" spans="2:2">
      <c r="B45" s="2" t="s">
        <v>78</v>
      </c>
    </row>
    <row r="46" customHeight="1" spans="2:2">
      <c r="B46" s="2" t="s">
        <v>79</v>
      </c>
    </row>
    <row r="47" customHeight="1" spans="2:2">
      <c r="B47" s="2" t="s">
        <v>80</v>
      </c>
    </row>
    <row r="48" customHeight="1" spans="2:2">
      <c r="B48" s="2" t="s">
        <v>81</v>
      </c>
    </row>
    <row r="49" customHeight="1" spans="2:2">
      <c r="B49" s="2" t="s">
        <v>82</v>
      </c>
    </row>
    <row r="50" customHeight="1" spans="2:2">
      <c r="B50" s="1" t="s">
        <v>83</v>
      </c>
    </row>
    <row r="51" customHeight="1" spans="2:2">
      <c r="B51" s="1" t="s">
        <v>84</v>
      </c>
    </row>
    <row r="52" customHeight="1" spans="2:2">
      <c r="B52" s="1" t="s">
        <v>85</v>
      </c>
    </row>
    <row r="53" customHeight="1" spans="2:2">
      <c r="B53" s="2" t="s">
        <v>86</v>
      </c>
    </row>
    <row r="54" customHeight="1" spans="2:2">
      <c r="B54" s="2" t="s">
        <v>87</v>
      </c>
    </row>
    <row r="55" customHeight="1" spans="2:2">
      <c r="B55" s="2" t="s">
        <v>88</v>
      </c>
    </row>
    <row r="56" customHeight="1" spans="2:2">
      <c r="B56" s="2" t="s">
        <v>89</v>
      </c>
    </row>
    <row r="57" customHeight="1" spans="2:2">
      <c r="B57" s="2" t="s">
        <v>90</v>
      </c>
    </row>
    <row r="58" customHeight="1" spans="2:2">
      <c r="B58" s="2" t="s">
        <v>91</v>
      </c>
    </row>
    <row r="59" customHeight="1" spans="2:2">
      <c r="B59" s="2" t="s">
        <v>92</v>
      </c>
    </row>
    <row r="60" customHeight="1" spans="2:2">
      <c r="B60" s="2" t="s">
        <v>93</v>
      </c>
    </row>
    <row r="61" customHeight="1" spans="2:2">
      <c r="B61" s="1" t="s">
        <v>94</v>
      </c>
    </row>
    <row r="62" customHeight="1" spans="2:2">
      <c r="B62" s="1" t="s">
        <v>95</v>
      </c>
    </row>
    <row r="65" customHeight="1" spans="2:2">
      <c r="B65" s="1" t="s">
        <v>96</v>
      </c>
    </row>
    <row r="66" customHeight="1" spans="2:4">
      <c r="B66" s="2" t="s">
        <v>97</v>
      </c>
      <c r="D66" s="2"/>
    </row>
    <row r="67" customHeight="1" spans="2:2">
      <c r="B67" s="1" t="s">
        <v>98</v>
      </c>
    </row>
    <row r="68" customHeight="1" spans="2:4">
      <c r="B68" s="2" t="s">
        <v>99</v>
      </c>
      <c r="D68" s="2"/>
    </row>
    <row r="69" customHeight="1" spans="2:2">
      <c r="B69" s="1" t="s">
        <v>100</v>
      </c>
    </row>
    <row r="70" customHeight="1" spans="2:2">
      <c r="B70" s="2" t="s">
        <v>101</v>
      </c>
    </row>
    <row r="72" customHeight="1" spans="2:3">
      <c r="B72" s="1" t="s">
        <v>102</v>
      </c>
      <c r="C72" s="1" t="s">
        <v>103</v>
      </c>
    </row>
    <row r="73" customHeight="1" spans="2:5">
      <c r="B73" s="2" t="s">
        <v>104</v>
      </c>
      <c r="C73" s="2" t="s">
        <v>100</v>
      </c>
      <c r="E73" s="2">
        <v>2</v>
      </c>
    </row>
    <row r="74" customHeight="1" spans="2:5">
      <c r="B74" s="2" t="s">
        <v>105</v>
      </c>
      <c r="C74" s="2" t="s">
        <v>100</v>
      </c>
      <c r="E74" s="2">
        <v>2</v>
      </c>
    </row>
    <row r="75" customHeight="1" spans="2:5">
      <c r="B75" s="2" t="s">
        <v>106</v>
      </c>
      <c r="C75" s="2" t="s">
        <v>100</v>
      </c>
      <c r="E75" s="2">
        <v>2</v>
      </c>
    </row>
    <row r="76" customHeight="1" spans="2:5">
      <c r="B76" s="2" t="s">
        <v>107</v>
      </c>
      <c r="C76" s="2" t="s">
        <v>100</v>
      </c>
      <c r="E76" s="2">
        <v>2</v>
      </c>
    </row>
    <row r="77" customHeight="1" spans="2:5">
      <c r="B77" s="2" t="s">
        <v>108</v>
      </c>
      <c r="C77" s="2" t="s">
        <v>100</v>
      </c>
      <c r="E77" s="2">
        <v>2</v>
      </c>
    </row>
    <row r="78" customHeight="1" spans="2:5">
      <c r="B78" s="2" t="s">
        <v>109</v>
      </c>
      <c r="C78" s="2" t="s">
        <v>100</v>
      </c>
      <c r="E78" s="2">
        <v>2</v>
      </c>
    </row>
    <row r="79" customHeight="1" spans="2:5">
      <c r="B79" s="2" t="s">
        <v>110</v>
      </c>
      <c r="C79" s="2" t="s">
        <v>100</v>
      </c>
      <c r="E79" s="2">
        <v>2</v>
      </c>
    </row>
    <row r="80" customHeight="1" spans="2:5">
      <c r="B80" s="2" t="s">
        <v>111</v>
      </c>
      <c r="C80" s="2" t="s">
        <v>100</v>
      </c>
      <c r="E80" s="2">
        <v>2</v>
      </c>
    </row>
    <row r="81" customHeight="1" spans="2:5">
      <c r="B81" s="2" t="s">
        <v>112</v>
      </c>
      <c r="C81" s="2" t="s">
        <v>100</v>
      </c>
      <c r="E81" s="2">
        <v>2</v>
      </c>
    </row>
    <row r="82" customHeight="1" spans="2:5">
      <c r="B82" s="2" t="s">
        <v>113</v>
      </c>
      <c r="C82" s="2" t="s">
        <v>100</v>
      </c>
      <c r="E82" s="2">
        <v>2</v>
      </c>
    </row>
    <row r="83" customHeight="1" spans="2:5">
      <c r="B83" s="2" t="s">
        <v>114</v>
      </c>
      <c r="C83" s="2" t="s">
        <v>98</v>
      </c>
      <c r="E83" s="2">
        <v>3</v>
      </c>
    </row>
    <row r="84" customHeight="1" spans="2:5">
      <c r="B84" s="2" t="s">
        <v>115</v>
      </c>
      <c r="C84" s="2" t="s">
        <v>98</v>
      </c>
      <c r="E84" s="2">
        <v>3</v>
      </c>
    </row>
    <row r="85" customHeight="1" spans="2:5">
      <c r="B85" s="2" t="s">
        <v>116</v>
      </c>
      <c r="C85" s="2" t="s">
        <v>98</v>
      </c>
      <c r="E85" s="2">
        <v>3</v>
      </c>
    </row>
    <row r="86" customHeight="1" spans="2:5">
      <c r="B86" s="2" t="s">
        <v>117</v>
      </c>
      <c r="C86" s="2" t="s">
        <v>98</v>
      </c>
      <c r="E86" s="2">
        <v>3</v>
      </c>
    </row>
    <row r="87" customHeight="1" spans="2:5">
      <c r="B87" s="2" t="s">
        <v>118</v>
      </c>
      <c r="C87" s="2" t="s">
        <v>98</v>
      </c>
      <c r="E87" s="2">
        <v>3</v>
      </c>
    </row>
    <row r="88" customHeight="1" spans="2:5">
      <c r="B88" s="2" t="s">
        <v>119</v>
      </c>
      <c r="C88" s="2" t="s">
        <v>98</v>
      </c>
      <c r="E88" s="2">
        <v>3</v>
      </c>
    </row>
    <row r="89" customHeight="1" spans="2:5">
      <c r="B89" s="2" t="s">
        <v>120</v>
      </c>
      <c r="C89" s="2" t="s">
        <v>98</v>
      </c>
      <c r="E89" s="2">
        <v>3</v>
      </c>
    </row>
    <row r="90" customHeight="1" spans="2:5">
      <c r="B90" s="2" t="s">
        <v>121</v>
      </c>
      <c r="C90" s="2" t="s">
        <v>98</v>
      </c>
      <c r="E90" s="2">
        <v>3</v>
      </c>
    </row>
    <row r="91" customHeight="1" spans="2:5">
      <c r="B91" s="2" t="s">
        <v>122</v>
      </c>
      <c r="C91" s="2" t="s">
        <v>98</v>
      </c>
      <c r="E91" s="2">
        <v>3</v>
      </c>
    </row>
    <row r="92" customHeight="1" spans="2:5">
      <c r="B92" s="2" t="s">
        <v>123</v>
      </c>
      <c r="C92" s="2" t="s">
        <v>98</v>
      </c>
      <c r="E92" s="2">
        <v>3</v>
      </c>
    </row>
    <row r="93" customHeight="1" spans="2:5">
      <c r="B93" s="2" t="s">
        <v>124</v>
      </c>
      <c r="C93" s="2" t="s">
        <v>98</v>
      </c>
      <c r="E93" s="2">
        <v>3</v>
      </c>
    </row>
    <row r="94" customHeight="1" spans="2:5">
      <c r="B94" s="2" t="s">
        <v>125</v>
      </c>
      <c r="C94" s="2" t="s">
        <v>98</v>
      </c>
      <c r="E94" s="2">
        <v>3</v>
      </c>
    </row>
    <row r="95" customHeight="1" spans="2:5">
      <c r="B95" s="2" t="s">
        <v>126</v>
      </c>
      <c r="C95" s="2" t="s">
        <v>96</v>
      </c>
      <c r="E95" s="2">
        <v>4</v>
      </c>
    </row>
    <row r="96" customHeight="1" spans="2:5">
      <c r="B96" s="2" t="s">
        <v>127</v>
      </c>
      <c r="C96" s="2" t="s">
        <v>96</v>
      </c>
      <c r="E96" s="2">
        <v>4</v>
      </c>
    </row>
    <row r="97" customHeight="1" spans="2:5">
      <c r="B97" s="2" t="s">
        <v>128</v>
      </c>
      <c r="C97" s="2" t="s">
        <v>96</v>
      </c>
      <c r="E97" s="2">
        <v>4</v>
      </c>
    </row>
    <row r="98" customHeight="1" spans="2:5">
      <c r="B98" s="2" t="s">
        <v>129</v>
      </c>
      <c r="C98" s="2" t="s">
        <v>96</v>
      </c>
      <c r="E98" s="2">
        <v>4</v>
      </c>
    </row>
    <row r="99" customHeight="1" spans="2:5">
      <c r="B99" s="2" t="s">
        <v>130</v>
      </c>
      <c r="C99" s="2" t="s">
        <v>96</v>
      </c>
      <c r="E99" s="2">
        <v>4</v>
      </c>
    </row>
    <row r="100" customHeight="1" spans="2:5">
      <c r="B100" s="2" t="s">
        <v>131</v>
      </c>
      <c r="C100" s="2" t="s">
        <v>96</v>
      </c>
      <c r="E100" s="2">
        <v>4</v>
      </c>
    </row>
    <row r="101" customHeight="1" spans="2:5">
      <c r="B101" s="2" t="s">
        <v>132</v>
      </c>
      <c r="C101" s="2" t="s">
        <v>96</v>
      </c>
      <c r="E101" s="2">
        <v>4</v>
      </c>
    </row>
    <row r="102" customHeight="1" spans="2:5">
      <c r="B102" s="2" t="s">
        <v>133</v>
      </c>
      <c r="C102" s="2" t="s">
        <v>96</v>
      </c>
      <c r="E102" s="2">
        <v>4</v>
      </c>
    </row>
    <row r="103" customHeight="1" spans="2:5">
      <c r="B103" s="2" t="s">
        <v>134</v>
      </c>
      <c r="C103" s="2" t="s">
        <v>96</v>
      </c>
      <c r="E103" s="2">
        <v>4</v>
      </c>
    </row>
    <row r="104" customHeight="1" spans="2:5">
      <c r="B104" s="2" t="s">
        <v>135</v>
      </c>
      <c r="C104" s="2" t="s">
        <v>96</v>
      </c>
      <c r="E104" s="2">
        <v>4</v>
      </c>
    </row>
    <row r="105" customHeight="1" spans="2:5">
      <c r="B105" s="2" t="s">
        <v>136</v>
      </c>
      <c r="C105" s="2" t="s">
        <v>96</v>
      </c>
      <c r="E105" s="2">
        <v>4</v>
      </c>
    </row>
    <row r="106" customHeight="1" spans="2:5">
      <c r="B106" s="2" t="s">
        <v>137</v>
      </c>
      <c r="C106" s="2" t="s">
        <v>96</v>
      </c>
      <c r="E106" s="2">
        <v>4</v>
      </c>
    </row>
    <row r="107" customHeight="1" spans="2:3">
      <c r="B107" s="3"/>
      <c r="C107" s="3"/>
    </row>
    <row r="108" customHeight="1" spans="2:3">
      <c r="B108" s="2" t="s">
        <v>100</v>
      </c>
      <c r="C108" s="2">
        <v>2</v>
      </c>
    </row>
    <row r="109" customHeight="1" spans="2:3">
      <c r="B109" s="2" t="s">
        <v>98</v>
      </c>
      <c r="C109" s="2">
        <v>3</v>
      </c>
    </row>
    <row r="110" customHeight="1" spans="2:3">
      <c r="B110" s="2" t="s">
        <v>96</v>
      </c>
      <c r="C110" s="2">
        <v>4</v>
      </c>
    </row>
    <row r="112" customHeight="1" spans="2:3">
      <c r="B112" s="2" t="s">
        <v>138</v>
      </c>
      <c r="C112" s="4" t="str">
        <f>_xlfn.IFS(RCRI!D25&lt;=1,"0",RCRI!D25&gt;1,"1")</f>
        <v>0</v>
      </c>
    </row>
    <row r="113" customHeight="1" spans="2:3">
      <c r="B113" s="2" t="s">
        <v>139</v>
      </c>
      <c r="C113" s="4">
        <f>VLOOKUP(RCRI!L26,Página1!B108:C110,2,FALSE)</f>
        <v>3</v>
      </c>
    </row>
    <row r="114" customHeight="1" spans="2:3">
      <c r="B114" s="2" t="s">
        <v>140</v>
      </c>
      <c r="C114" s="4">
        <f>C112*C113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E73"/>
  <sheetViews>
    <sheetView tabSelected="1" workbookViewId="0">
      <selection activeCell="A1" sqref="A1"/>
    </sheetView>
  </sheetViews>
  <sheetFormatPr defaultColWidth="12.6285714285714" defaultRowHeight="15.75" customHeight="1" outlineLevelCol="4"/>
  <cols>
    <col min="1" max="68" width="3" customWidth="1"/>
  </cols>
  <sheetData>
    <row r="2" customHeight="1" spans="2:2">
      <c r="B2" s="1" t="s">
        <v>141</v>
      </c>
    </row>
    <row r="3" customHeight="1" spans="2:3">
      <c r="B3" s="2" t="b">
        <v>0</v>
      </c>
      <c r="C3" s="2" t="s">
        <v>142</v>
      </c>
    </row>
    <row r="4" customHeight="1" spans="2:3">
      <c r="B4" s="2" t="b">
        <v>0</v>
      </c>
      <c r="C4" s="2" t="s">
        <v>143</v>
      </c>
    </row>
    <row r="6" customHeight="1" spans="2:2">
      <c r="B6" s="1" t="s">
        <v>144</v>
      </c>
    </row>
    <row r="7" customHeight="1" spans="2:3">
      <c r="B7" s="2" t="b">
        <v>0</v>
      </c>
      <c r="C7" s="2" t="s">
        <v>55</v>
      </c>
    </row>
    <row r="8" customHeight="1" spans="2:3">
      <c r="B8" s="2" t="b">
        <v>0</v>
      </c>
      <c r="C8" s="2" t="s">
        <v>56</v>
      </c>
    </row>
    <row r="9" customHeight="1" spans="2:3">
      <c r="B9" s="2" t="b">
        <v>0</v>
      </c>
      <c r="C9" s="2" t="s">
        <v>57</v>
      </c>
    </row>
    <row r="10" customHeight="1" spans="2:3">
      <c r="B10" s="2" t="b">
        <v>0</v>
      </c>
      <c r="C10" s="2" t="s">
        <v>58</v>
      </c>
    </row>
    <row r="11" customHeight="1" spans="2:3">
      <c r="B11" s="2" t="b">
        <v>0</v>
      </c>
      <c r="C11" s="2" t="s">
        <v>59</v>
      </c>
    </row>
    <row r="12" customHeight="1" spans="2:3">
      <c r="B12" s="2" t="b">
        <v>0</v>
      </c>
      <c r="C12" s="2" t="s">
        <v>60</v>
      </c>
    </row>
    <row r="13" customHeight="1" spans="2:3">
      <c r="B13" s="2" t="b">
        <v>0</v>
      </c>
      <c r="C13" s="2" t="s">
        <v>61</v>
      </c>
    </row>
    <row r="14" customHeight="1" spans="2:3">
      <c r="B14" s="2" t="b">
        <v>0</v>
      </c>
      <c r="C14" s="2" t="s">
        <v>62</v>
      </c>
    </row>
    <row r="15" customHeight="1" spans="2:3">
      <c r="B15" s="2" t="b">
        <v>0</v>
      </c>
      <c r="C15" s="2" t="s">
        <v>63</v>
      </c>
    </row>
    <row r="16" customHeight="1" spans="2:3">
      <c r="B16" s="2" t="b">
        <v>0</v>
      </c>
      <c r="C16" s="2" t="s">
        <v>64</v>
      </c>
    </row>
    <row r="18" customHeight="1" spans="2:2">
      <c r="B18" s="1" t="s">
        <v>145</v>
      </c>
    </row>
    <row r="19" customHeight="1" spans="2:3">
      <c r="B19" s="1"/>
      <c r="C19" s="2"/>
    </row>
    <row r="20" customHeight="1" spans="3:4">
      <c r="C20" s="1" t="s">
        <v>65</v>
      </c>
      <c r="D20" s="2"/>
    </row>
    <row r="21" customHeight="1" spans="3:4">
      <c r="C21" s="2" t="b">
        <v>0</v>
      </c>
      <c r="D21" s="2" t="s">
        <v>13</v>
      </c>
    </row>
    <row r="22" customHeight="1" spans="3:4">
      <c r="C22" s="2" t="b">
        <v>0</v>
      </c>
      <c r="D22" s="2" t="s">
        <v>14</v>
      </c>
    </row>
    <row r="23" customHeight="1" spans="3:4">
      <c r="C23" s="2" t="b">
        <v>0</v>
      </c>
      <c r="D23" s="2" t="s">
        <v>15</v>
      </c>
    </row>
    <row r="24" customHeight="1" spans="3:4">
      <c r="C24" s="2" t="b">
        <v>0</v>
      </c>
      <c r="D24" s="2" t="s">
        <v>16</v>
      </c>
    </row>
    <row r="25" customHeight="1" spans="3:4">
      <c r="C25" s="2" t="b">
        <v>0</v>
      </c>
      <c r="D25" s="2" t="s">
        <v>17</v>
      </c>
    </row>
    <row r="26" customHeight="1" spans="3:4">
      <c r="C26" s="2" t="b">
        <v>0</v>
      </c>
      <c r="D26" s="2" t="s">
        <v>18</v>
      </c>
    </row>
    <row r="28" customHeight="1" spans="4:4">
      <c r="D28" s="1" t="s">
        <v>66</v>
      </c>
    </row>
    <row r="29" customHeight="1" spans="4:4">
      <c r="D29" s="2" t="s">
        <v>67</v>
      </c>
    </row>
    <row r="30" customHeight="1" spans="4:4">
      <c r="D30" s="2" t="s">
        <v>68</v>
      </c>
    </row>
    <row r="31" customHeight="1" spans="4:4">
      <c r="D31" s="2" t="s">
        <v>69</v>
      </c>
    </row>
    <row r="32" customHeight="1" spans="4:4">
      <c r="D32" s="2" t="s">
        <v>70</v>
      </c>
    </row>
    <row r="34" customHeight="1" spans="3:3">
      <c r="C34" s="1" t="s">
        <v>71</v>
      </c>
    </row>
    <row r="35" customHeight="1" spans="3:4">
      <c r="C35" s="2" t="b">
        <v>0</v>
      </c>
      <c r="D35" s="2" t="s">
        <v>72</v>
      </c>
    </row>
    <row r="36" customHeight="1" spans="3:4">
      <c r="C36" s="2" t="b">
        <v>0</v>
      </c>
      <c r="D36" s="2" t="s">
        <v>73</v>
      </c>
    </row>
    <row r="37" customHeight="1" spans="3:4">
      <c r="C37" s="2" t="b">
        <v>0</v>
      </c>
      <c r="D37" s="2" t="s">
        <v>74</v>
      </c>
    </row>
    <row r="38" customHeight="1" spans="3:4">
      <c r="C38" s="2" t="b">
        <v>0</v>
      </c>
      <c r="D38" s="2" t="s">
        <v>75</v>
      </c>
    </row>
    <row r="39" customHeight="1" spans="3:4">
      <c r="C39" s="2" t="b">
        <v>0</v>
      </c>
      <c r="D39" s="2" t="s">
        <v>76</v>
      </c>
    </row>
    <row r="40" customHeight="1" spans="3:4">
      <c r="C40" s="2" t="b">
        <v>0</v>
      </c>
      <c r="D40" s="2" t="s">
        <v>77</v>
      </c>
    </row>
    <row r="41" customHeight="1" spans="3:4">
      <c r="C41" s="2" t="b">
        <v>0</v>
      </c>
      <c r="D41" s="2" t="s">
        <v>78</v>
      </c>
    </row>
    <row r="42" customHeight="1" spans="3:4">
      <c r="C42" s="2" t="b">
        <v>0</v>
      </c>
      <c r="D42" s="2" t="s">
        <v>79</v>
      </c>
    </row>
    <row r="43" customHeight="1" spans="3:4">
      <c r="C43" s="2" t="b">
        <v>0</v>
      </c>
      <c r="D43" s="2" t="s">
        <v>80</v>
      </c>
    </row>
    <row r="44" customHeight="1" spans="3:4">
      <c r="C44" s="2" t="b">
        <v>0</v>
      </c>
      <c r="D44" s="2" t="s">
        <v>81</v>
      </c>
    </row>
    <row r="45" customHeight="1" spans="3:4">
      <c r="C45" s="2" t="b">
        <v>0</v>
      </c>
      <c r="D45" s="2" t="s">
        <v>82</v>
      </c>
    </row>
    <row r="47" customHeight="1" spans="4:4">
      <c r="D47" s="1" t="s">
        <v>83</v>
      </c>
    </row>
    <row r="48" customHeight="1" spans="4:4">
      <c r="D48" s="2" t="s">
        <v>84</v>
      </c>
    </row>
    <row r="49" customHeight="1" spans="4:4">
      <c r="D49" s="2" t="s">
        <v>85</v>
      </c>
    </row>
    <row r="51" customHeight="1" spans="4:5">
      <c r="D51" s="2" t="b">
        <v>1</v>
      </c>
      <c r="E51" s="2" t="s">
        <v>86</v>
      </c>
    </row>
    <row r="52" customHeight="1" spans="4:5">
      <c r="D52" s="2" t="b">
        <v>0</v>
      </c>
      <c r="E52" s="2" t="s">
        <v>87</v>
      </c>
    </row>
    <row r="53" customHeight="1" spans="4:5">
      <c r="D53" s="2" t="b">
        <v>1</v>
      </c>
      <c r="E53" s="2" t="s">
        <v>88</v>
      </c>
    </row>
    <row r="54" customHeight="1" spans="4:5">
      <c r="D54" s="2" t="b">
        <v>0</v>
      </c>
      <c r="E54" s="2" t="s">
        <v>89</v>
      </c>
    </row>
    <row r="55" customHeight="1" spans="4:5">
      <c r="D55" s="2" t="b">
        <v>0</v>
      </c>
      <c r="E55" s="2" t="s">
        <v>90</v>
      </c>
    </row>
    <row r="56" customHeight="1" spans="4:5">
      <c r="D56" s="2" t="b">
        <v>0</v>
      </c>
      <c r="E56" s="2" t="s">
        <v>91</v>
      </c>
    </row>
    <row r="57" customHeight="1" spans="4:5">
      <c r="D57" s="2" t="b">
        <v>0</v>
      </c>
      <c r="E57" s="2" t="s">
        <v>92</v>
      </c>
    </row>
    <row r="58" customHeight="1" spans="4:5">
      <c r="D58" s="2" t="b">
        <v>0</v>
      </c>
      <c r="E58" s="2" t="s">
        <v>93</v>
      </c>
    </row>
    <row r="60" customHeight="1" spans="5:5">
      <c r="E60" s="1" t="s">
        <v>83</v>
      </c>
    </row>
    <row r="61" customHeight="1" spans="5:5">
      <c r="E61" s="2" t="s">
        <v>94</v>
      </c>
    </row>
    <row r="62" customHeight="1" spans="5:5">
      <c r="E62" s="2" t="s">
        <v>95</v>
      </c>
    </row>
    <row r="64" customHeight="1" spans="3:3">
      <c r="C64" s="1" t="s">
        <v>146</v>
      </c>
    </row>
    <row r="65" customHeight="1" spans="3:3">
      <c r="C65" s="2" t="s">
        <v>96</v>
      </c>
    </row>
    <row r="66" customHeight="1" spans="4:4">
      <c r="D66" s="2" t="s">
        <v>97</v>
      </c>
    </row>
    <row r="67" customHeight="1" spans="3:3">
      <c r="C67" s="2" t="s">
        <v>98</v>
      </c>
    </row>
    <row r="68" customHeight="1" spans="4:4">
      <c r="D68" s="2" t="s">
        <v>99</v>
      </c>
    </row>
    <row r="69" customHeight="1" spans="3:3">
      <c r="C69" s="2" t="s">
        <v>100</v>
      </c>
    </row>
    <row r="70" customHeight="1" spans="4:4">
      <c r="D70" s="2" t="s">
        <v>101</v>
      </c>
    </row>
    <row r="72" customHeight="1" spans="3:3">
      <c r="C72" s="1" t="s">
        <v>147</v>
      </c>
    </row>
    <row r="73" customHeight="1" spans="3:3">
      <c r="C73" s="2"/>
    </row>
  </sheetData>
  <conditionalFormatting sqref="C73">
    <cfRule type="notContainsBlanks" dxfId="5" priority="1">
      <formula>LEN(TRIM(C73))&gt;0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RCRI</vt:lpstr>
      <vt:lpstr>VSG-CRI</vt:lpstr>
      <vt:lpstr>Página1</vt:lpstr>
      <vt:lpstr>Página2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Araujo</cp:lastModifiedBy>
  <dcterms:created xsi:type="dcterms:W3CDTF">2026-03-25T03:04:15Z</dcterms:created>
  <dcterms:modified xsi:type="dcterms:W3CDTF">2026-03-25T03:04:22Z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DFC09B2A16DB44829E699944F802AFCB_12</vt:lpwstr>
  </property>
  <property fmtid="{D5CDD505-2E9C-101B-9397-08002B2CF9AE}" pid="3" name="KSOProductBuildVer">
    <vt:lpwstr>1046-12.2.0.23196</vt:lpwstr>
  </property>
</Properties>
</file>